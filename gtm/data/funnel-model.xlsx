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unnel" sheetId="1" r:id="rId1"/>
  </sheets>
  <calcPr fullCalcOnLoad="1"/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cols>
    <col min="2" max="2" width="38" customWidth="1"/>
    <col min="3" max="5" width="14" customWidth="1"/>
    <col min="7" max="7" width="80" customWidth="1"/>
  </cols>
  <sheetData>
    <row r="1">
      <c r="A1" t="inlineStr">
        <is>
          <t>row</t>
        </is>
      </c>
      <c r="B1" t="inlineStr">
        <is>
          <t>metric</t>
        </is>
      </c>
      <c r="C1" t="inlineStr">
        <is>
          <t>conservative</t>
        </is>
      </c>
      <c r="D1" t="inlineStr">
        <is>
          <t>target</t>
        </is>
      </c>
      <c r="E1" t="inlineStr">
        <is>
          <t>stretch</t>
        </is>
      </c>
      <c r="F1" t="inlineStr">
        <is>
          <t>type</t>
        </is>
      </c>
      <c r="G1" t="inlineStr">
        <is>
          <t>note</t>
        </is>
      </c>
    </row>
    <row r="2">
      <c r="A2">
        <v>2.0</v>
      </c>
      <c r="B2" t="inlineStr">
        <is>
          <t>goal_paying_locations</t>
        </is>
      </c>
      <c r="C2">
        <v>100.0</v>
      </c>
      <c r="D2">
        <v>100.0</v>
      </c>
      <c r="E2">
        <v>100.0</v>
      </c>
      <c r="F2" t="inlineStr">
        <is>
          <t>input</t>
        </is>
      </c>
      <c r="G2" t="inlineStr">
        <is>
          <t>Fixed goal. Price stays 39 EUR / location / month.</t>
        </is>
      </c>
    </row>
    <row r="3">
      <c r="A3">
        <v>3.0</v>
      </c>
      <c r="B3" t="inlineStr">
        <is>
          <t>locations_per_paying_merchant</t>
        </is>
      </c>
      <c r="C3">
        <v>1.05</v>
      </c>
      <c r="D3">
        <v>1.1</v>
      </c>
      <c r="E3">
        <v>1.2</v>
      </c>
      <c r="F3" t="inlineStr">
        <is>
          <t>input</t>
        </is>
      </c>
      <c r="G3" t="inlineStr">
        <is>
          <t>Some owners have a second shop.</t>
        </is>
      </c>
    </row>
    <row r="4">
      <c r="A4">
        <v>4.0</v>
      </c>
      <c r="B4" t="inlineStr">
        <is>
          <t>share_of_merchants_from_referrals</t>
        </is>
      </c>
      <c r="C4">
        <v>0.05</v>
      </c>
      <c r="D4">
        <v>0.15</v>
      </c>
      <c r="E4">
        <v>0.25</v>
      </c>
      <c r="F4" t="inlineStr">
        <is>
          <t>input</t>
        </is>
      </c>
      <c r="G4" t="inlineStr">
        <is>
          <t>Merchant-to-merchant introductions that end up paying (see 10-merchant-referrals.md).</t>
        </is>
      </c>
    </row>
    <row r="5">
      <c r="A5">
        <v>5.0</v>
      </c>
      <c r="B5" t="inlineStr">
        <is>
          <t>rate_door_to_owner_conversation</t>
        </is>
      </c>
      <c r="C5">
        <v>0.35</v>
      </c>
      <c r="D5">
        <v>0.45</v>
      </c>
      <c r="E5">
        <v>0.55</v>
      </c>
      <c r="F5" t="inlineStr">
        <is>
          <t>input</t>
        </is>
      </c>
      <c r="G5" t="inlineStr">
        <is>
          <t>Decision-maker present AND willing to talk for &gt;1 minute.</t>
        </is>
      </c>
    </row>
    <row r="6">
      <c r="A6">
        <v>6.0</v>
      </c>
      <c r="B6" t="inlineStr">
        <is>
          <t>rate_conversation_to_demo</t>
        </is>
      </c>
      <c r="C6">
        <v>0.4</v>
      </c>
      <c r="D6">
        <v>0.5</v>
      </c>
      <c r="E6">
        <v>0.6</v>
      </c>
      <c r="F6" t="inlineStr">
        <is>
          <t>input</t>
        </is>
      </c>
      <c r="G6" t="inlineStr">
        <is>
          <t>Owner holds the card on their own phone or sees the 2-minute demo.</t>
        </is>
      </c>
    </row>
    <row r="7">
      <c r="A7">
        <v>7.0</v>
      </c>
      <c r="B7" t="inlineStr">
        <is>
          <t>rate_demo_to_pilot</t>
        </is>
      </c>
      <c r="C7">
        <v>0.25</v>
      </c>
      <c r="D7">
        <v>0.35</v>
      </c>
      <c r="E7">
        <v>0.45</v>
      </c>
      <c r="F7" t="inlineStr">
        <is>
          <t>input</t>
        </is>
      </c>
      <c r="G7" t="inlineStr">
        <is>
          <t>Pilot = live at the counter (see 04-funnel.md for the commercial gate).</t>
        </is>
      </c>
    </row>
    <row r="8">
      <c r="A8">
        <v>8.0</v>
      </c>
      <c r="B8" t="inlineStr">
        <is>
          <t>rate_pilot_to_paid</t>
        </is>
      </c>
      <c r="C8">
        <v>0.6</v>
      </c>
      <c r="D8">
        <v>0.75</v>
      </c>
      <c r="E8">
        <v>0.85</v>
      </c>
      <c r="F8" t="inlineStr">
        <is>
          <t>input</t>
        </is>
      </c>
      <c r="G8" t="inlineStr">
        <is>
          <t>Decided after the first 30 live days.</t>
        </is>
      </c>
    </row>
    <row r="9">
      <c r="A9">
        <v>9.0</v>
      </c>
      <c r="B9" t="inlineStr">
        <is>
          <t>doors_per_field_day</t>
        </is>
      </c>
      <c r="C9">
        <v>20.0</v>
      </c>
      <c r="D9">
        <v>25.0</v>
      </c>
      <c r="E9">
        <v>30.0</v>
      </c>
      <c r="F9" t="inlineStr">
        <is>
          <t>input</t>
        </is>
      </c>
      <c r="G9" t="inlineStr">
        <is>
          <t>Walk-ins incl. walking; about 3.5 field hours.</t>
        </is>
      </c>
    </row>
    <row r="10">
      <c r="A10">
        <v>10.0</v>
      </c>
      <c r="B10" t="inlineStr">
        <is>
          <t>field_days_per_week</t>
        </is>
      </c>
      <c r="C10">
        <v>4.0</v>
      </c>
      <c r="D10">
        <v>4.0</v>
      </c>
      <c r="E10">
        <v>4.0</v>
      </c>
      <c r="F10" t="inlineStr">
        <is>
          <t>input</t>
        </is>
      </c>
      <c r="G10" t="inlineStr">
        <is>
          <t>Day 5 = onboarding + follow-ups + learning review.</t>
        </is>
      </c>
    </row>
    <row r="11">
      <c r="A11">
        <v>11.0</v>
      </c>
      <c r="B11" t="inlineStr">
        <is>
          <t>paying_merchants_needed</t>
        </is>
      </c>
      <c r="C11">
        <f>ROUNDUP(C2/C3,0)</f>
      </c>
      <c r="D11">
        <f>ROUNDUP(D2/D3,0)</f>
      </c>
      <c r="E11">
        <f>ROUNDUP(E2/E3,0)</f>
      </c>
      <c r="F11" t="inlineStr">
        <is>
          <t>formula</t>
        </is>
      </c>
    </row>
    <row r="12">
      <c r="A12">
        <v>12.0</v>
      </c>
      <c r="B12" t="inlineStr">
        <is>
          <t>paying_merchants_from_walkins</t>
        </is>
      </c>
      <c r="C12">
        <f>ROUNDUP(C11*(1-C4),0)</f>
      </c>
      <c r="D12">
        <f>ROUNDUP(D11*(1-D4),0)</f>
      </c>
      <c r="E12">
        <f>ROUNDUP(E11*(1-E4),0)</f>
      </c>
      <c r="F12" t="inlineStr">
        <is>
          <t>formula</t>
        </is>
      </c>
    </row>
    <row r="13">
      <c r="A13">
        <v>13.0</v>
      </c>
      <c r="B13" t="inlineStr">
        <is>
          <t>pilots_needed</t>
        </is>
      </c>
      <c r="C13">
        <f>ROUNDUP(C12/C8,0)</f>
      </c>
      <c r="D13">
        <f>ROUNDUP(D12/D8,0)</f>
      </c>
      <c r="E13">
        <f>ROUNDUP(E12/E8,0)</f>
      </c>
      <c r="F13" t="inlineStr">
        <is>
          <t>formula</t>
        </is>
      </c>
    </row>
    <row r="14">
      <c r="A14">
        <v>14.0</v>
      </c>
      <c r="B14" t="inlineStr">
        <is>
          <t>demos_needed</t>
        </is>
      </c>
      <c r="C14">
        <f>ROUNDUP(C13/C7,0)</f>
      </c>
      <c r="D14">
        <f>ROUNDUP(D13/D7,0)</f>
      </c>
      <c r="E14">
        <f>ROUNDUP(E13/E7,0)</f>
      </c>
      <c r="F14" t="inlineStr">
        <is>
          <t>formula</t>
        </is>
      </c>
    </row>
    <row r="15">
      <c r="A15">
        <v>15.0</v>
      </c>
      <c r="B15" t="inlineStr">
        <is>
          <t>owner_conversations_needed</t>
        </is>
      </c>
      <c r="C15">
        <f>ROUNDUP(C14/C6,0)</f>
      </c>
      <c r="D15">
        <f>ROUNDUP(D14/D6,0)</f>
      </c>
      <c r="E15">
        <f>ROUNDUP(E14/E6,0)</f>
      </c>
      <c r="F15" t="inlineStr">
        <is>
          <t>formula</t>
        </is>
      </c>
    </row>
    <row r="16">
      <c r="A16">
        <v>16.0</v>
      </c>
      <c r="B16" t="inlineStr">
        <is>
          <t>doors_needed</t>
        </is>
      </c>
      <c r="C16">
        <f>ROUNDUP(C15/C5,0)</f>
      </c>
      <c r="D16">
        <f>ROUNDUP(D15/D5,0)</f>
      </c>
      <c r="E16">
        <f>ROUNDUP(E15/E5,0)</f>
      </c>
      <c r="F16" t="inlineStr">
        <is>
          <t>formula</t>
        </is>
      </c>
    </row>
    <row r="17">
      <c r="A17">
        <v>17.0</v>
      </c>
      <c r="B17" t="inlineStr">
        <is>
          <t>field_weeks_needed</t>
        </is>
      </c>
      <c r="C17">
        <f>ROUNDUP(C16/(C9*C10),0)</f>
      </c>
      <c r="D17">
        <f>ROUNDUP(D16/(D9*D10),0)</f>
      </c>
      <c r="E17">
        <f>ROUNDUP(E16/(E9*E10),0)</f>
      </c>
      <c r="F17" t="inlineStr">
        <is>
          <t>formula</t>
        </is>
      </c>
      <c r="G17" t="inlineStr">
        <is>
          <t>Add ~4 weeks for the last pilots to reach their paid decision.</t>
        </is>
      </c>
    </row>
    <row r="18">
      <c r="A18">
        <v>18.0</v>
      </c>
      <c r="B18" t="inlineStr">
        <is>
          <t>demos_per_week</t>
        </is>
      </c>
      <c r="C18">
        <f>ROUND(C14/C17,1)</f>
      </c>
      <c r="D18">
        <f>ROUND(D14/D17,1)</f>
      </c>
      <c r="E18">
        <f>ROUND(E14/E17,1)</f>
      </c>
      <c r="F18" t="inlineStr">
        <is>
          <t>formula</t>
        </is>
      </c>
    </row>
    <row r="19">
      <c r="A19">
        <v>19.0</v>
      </c>
      <c r="B19" t="inlineStr">
        <is>
          <t>pilot_setups_per_week</t>
        </is>
      </c>
      <c r="C19">
        <f>ROUND(C13/C17,1)</f>
      </c>
      <c r="D19">
        <f>ROUND(D13/D17,1)</f>
      </c>
      <c r="E19">
        <f>ROUND(E13/E17,1)</f>
      </c>
      <c r="F19" t="inlineStr">
        <is>
          <t>formula</t>
        </is>
      </c>
      <c r="G19" t="inlineStr">
        <is>
          <t>Each setup ~45-60 min on site.</t>
        </is>
      </c>
    </row>
    <row r="20"/>
    <row r="21">
      <c r="B21" t="inlineStr">
        <is>
          <t>Diagnostic floors (target scenario)</t>
        </is>
      </c>
      <c r="C21" t="inlineStr">
        <is>
          <t>floor</t>
        </is>
      </c>
      <c r="D21" t="inlineStr">
        <is>
          <t>judge after n</t>
        </is>
      </c>
      <c r="G21" t="inlineStr">
        <is>
          <t>If below the floor</t>
        </is>
      </c>
    </row>
    <row r="22">
      <c r="B22" t="inlineStr">
        <is>
          <t>door → owner conversation</t>
        </is>
      </c>
      <c r="C22">
        <v>0.3</v>
      </c>
      <c r="D22">
        <v>60</v>
      </c>
      <c r="G22" t="inlineStr">
        <is>
          <t>Wrong time of day/street. Move to Tue–Thu 14:30–17:00; avoid lunch rush and Saturdays.</t>
        </is>
      </c>
    </row>
    <row r="23">
      <c r="B23" t="inlineStr">
        <is>
          <t>conversation → demo</t>
        </is>
      </c>
      <c r="C23">
        <v>0.35</v>
      </c>
      <c r="D23">
        <v>40</v>
      </c>
      <c r="G23" t="inlineStr">
        <is>
          <t>Opener problem. Switch to the hand-the-phone opener (scan the demo QR).</t>
        </is>
      </c>
    </row>
    <row r="24">
      <c r="B24" t="inlineStr">
        <is>
          <t>demo → pilot</t>
        </is>
      </c>
      <c r="C24">
        <v>0.2</v>
      </c>
      <c r="D24">
        <v>25</v>
      </c>
      <c r="G24" t="inlineStr">
        <is>
          <t>Offer/fit problem. Tag every lost demo with its objection; review the top 2.</t>
        </is>
      </c>
    </row>
    <row r="25">
      <c r="B25" t="inlineStr">
        <is>
          <t>pilot active by day 14 (≥25 confirmed visits)</t>
        </is>
      </c>
      <c r="C25">
        <v>0.6</v>
      </c>
      <c r="D25">
        <v>10</v>
      </c>
      <c r="G25" t="inlineStr">
        <is>
          <t>Onboarding problem. Staff not scanning: day-3 visit, re-brief team.</t>
        </is>
      </c>
    </row>
    <row r="26">
      <c r="B26" t="inlineStr">
        <is>
          <t>pilot → paid</t>
        </is>
      </c>
      <c r="C26">
        <v>0.6</v>
      </c>
      <c r="D26">
        <v>10</v>
      </c>
      <c r="G26" t="inlineStr">
        <is>
          <t>Value not visible. Review owner usage; run the day-21 review in person.</t>
        </is>
      </c>
    </row>
  </sheetData>
</worksheet>
</file>