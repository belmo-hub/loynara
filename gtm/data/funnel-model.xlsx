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nnel" sheetId="1" r:id="rId1"/>
    <sheet name="Month one" sheetId="2" r:id="rId2"/>
  </sheets>
  <calcPr fullCalcOnLoad="1"/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2" max="2" width="38" customWidth="1"/>
    <col min="3" max="5" width="14" customWidth="1"/>
    <col min="7" max="7" width="80" customWidth="1"/>
  </cols>
  <sheetData>
    <row r="1">
      <c r="A1" t="inlineStr">
        <is>
          <t>row</t>
        </is>
      </c>
      <c r="B1" t="inlineStr">
        <is>
          <t>metric</t>
        </is>
      </c>
      <c r="C1" t="inlineStr">
        <is>
          <t>conservative</t>
        </is>
      </c>
      <c r="D1" t="inlineStr">
        <is>
          <t>target</t>
        </is>
      </c>
      <c r="E1" t="inlineStr">
        <is>
          <t>stretch</t>
        </is>
      </c>
      <c r="F1" t="inlineStr">
        <is>
          <t>type</t>
        </is>
      </c>
      <c r="G1" t="inlineStr">
        <is>
          <t>note</t>
        </is>
      </c>
    </row>
    <row r="2">
      <c r="A2">
        <v>2.0</v>
      </c>
      <c r="B2" t="inlineStr">
        <is>
          <t>goal_paying_locations</t>
        </is>
      </c>
      <c r="C2">
        <v>100.0</v>
      </c>
      <c r="D2">
        <v>100.0</v>
      </c>
      <c r="E2">
        <v>100.0</v>
      </c>
      <c r="F2" t="inlineStr">
        <is>
          <t>input</t>
        </is>
      </c>
      <c r="G2" t="inlineStr">
        <is>
          <t>Fixed goal. List price 49 EUR / location / month; founding shops pay 39 EUR</t>
        </is>
      </c>
      <c r="H2" t="inlineStr">
        <is>
          <t> fixed for their contract term (D-016). The model counts shops</t>
        </is>
      </c>
      <c r="I2" t="inlineStr">
        <is>
          <t> not revenue.</t>
        </is>
      </c>
    </row>
    <row r="3">
      <c r="A3">
        <v>3.0</v>
      </c>
      <c r="B3" t="inlineStr">
        <is>
          <t>locations_per_paying_merchant</t>
        </is>
      </c>
      <c r="C3">
        <v>1.05</v>
      </c>
      <c r="D3">
        <v>1.1</v>
      </c>
      <c r="E3">
        <v>1.2</v>
      </c>
      <c r="F3" t="inlineStr">
        <is>
          <t>input</t>
        </is>
      </c>
      <c r="G3" t="inlineStr">
        <is>
          <t>Some owners have a second shop.</t>
        </is>
      </c>
    </row>
    <row r="4">
      <c r="A4">
        <v>4.0</v>
      </c>
      <c r="B4" t="inlineStr">
        <is>
          <t>share_of_merchants_from_referrals</t>
        </is>
      </c>
      <c r="C4">
        <v>0.05</v>
      </c>
      <c r="D4">
        <v>0.15</v>
      </c>
      <c r="E4">
        <v>0.25</v>
      </c>
      <c r="F4" t="inlineStr">
        <is>
          <t>input</t>
        </is>
      </c>
      <c r="G4" t="inlineStr">
        <is>
          <t>Merchant-to-merchant introductions that end up paying (see 10-merchant-referrals.md).</t>
        </is>
      </c>
    </row>
    <row r="5">
      <c r="A5">
        <v>5.0</v>
      </c>
      <c r="B5" t="inlineStr">
        <is>
          <t>rate_door_to_owner_conversation</t>
        </is>
      </c>
      <c r="C5">
        <v>0.35</v>
      </c>
      <c r="D5">
        <v>0.45</v>
      </c>
      <c r="E5">
        <v>0.55</v>
      </c>
      <c r="F5" t="inlineStr">
        <is>
          <t>input</t>
        </is>
      </c>
      <c r="G5" t="inlineStr">
        <is>
          <t>Decision-maker present AND willing to talk for &gt;1 minute.</t>
        </is>
      </c>
    </row>
    <row r="6">
      <c r="A6">
        <v>6.0</v>
      </c>
      <c r="B6" t="inlineStr">
        <is>
          <t>rate_conversation_to_demo</t>
        </is>
      </c>
      <c r="C6">
        <v>0.4</v>
      </c>
      <c r="D6">
        <v>0.5</v>
      </c>
      <c r="E6">
        <v>0.6</v>
      </c>
      <c r="F6" t="inlineStr">
        <is>
          <t>input</t>
        </is>
      </c>
      <c r="G6" t="inlineStr">
        <is>
          <t>Owner holds the card on their own phone or sees the 2-minute demo.</t>
        </is>
      </c>
    </row>
    <row r="7">
      <c r="A7">
        <v>7.0</v>
      </c>
      <c r="B7" t="inlineStr">
        <is>
          <t>rate_demo_to_pilot</t>
        </is>
      </c>
      <c r="C7">
        <v>0.25</v>
      </c>
      <c r="D7">
        <v>0.35</v>
      </c>
      <c r="E7">
        <v>0.45</v>
      </c>
      <c r="F7" t="inlineStr">
        <is>
          <t>input</t>
        </is>
      </c>
      <c r="G7" t="inlineStr">
        <is>
          <t>Pilot = live at the counter (see 04-funnel.md for the commercial gate).</t>
        </is>
      </c>
    </row>
    <row r="8">
      <c r="A8">
        <v>8.0</v>
      </c>
      <c r="B8" t="inlineStr">
        <is>
          <t>rate_pilot_to_paid</t>
        </is>
      </c>
      <c r="C8">
        <v>0.6</v>
      </c>
      <c r="D8">
        <v>0.75</v>
      </c>
      <c r="E8">
        <v>0.85</v>
      </c>
      <c r="F8" t="inlineStr">
        <is>
          <t>input</t>
        </is>
      </c>
      <c r="G8" t="inlineStr">
        <is>
          <t>Decided after the first 30 live days.</t>
        </is>
      </c>
    </row>
    <row r="9">
      <c r="A9">
        <v>9.0</v>
      </c>
      <c r="B9" t="inlineStr">
        <is>
          <t>doors_per_field_day</t>
        </is>
      </c>
      <c r="C9">
        <v>20.0</v>
      </c>
      <c r="D9">
        <v>25.0</v>
      </c>
      <c r="E9">
        <v>30.0</v>
      </c>
      <c r="F9" t="inlineStr">
        <is>
          <t>input</t>
        </is>
      </c>
      <c r="G9" t="inlineStr">
        <is>
          <t>Walk-ins incl. walking; about 3.5 field hours.</t>
        </is>
      </c>
    </row>
    <row r="10">
      <c r="A10">
        <v>10.0</v>
      </c>
      <c r="B10" t="inlineStr">
        <is>
          <t>field_days_per_week</t>
        </is>
      </c>
      <c r="C10">
        <v>4.0</v>
      </c>
      <c r="D10">
        <v>4.0</v>
      </c>
      <c r="E10">
        <v>4.0</v>
      </c>
      <c r="F10" t="inlineStr">
        <is>
          <t>input</t>
        </is>
      </c>
      <c r="G10" t="inlineStr">
        <is>
          <t>Day 5 = onboarding + follow-ups + learning review.</t>
        </is>
      </c>
    </row>
    <row r="11">
      <c r="A11">
        <v>11.0</v>
      </c>
      <c r="B11" t="inlineStr">
        <is>
          <t>paying_merchants_needed</t>
        </is>
      </c>
      <c r="C11">
        <f>ROUNDUP(C2/C3,0)</f>
      </c>
      <c r="D11">
        <f>ROUNDUP(D2/D3,0)</f>
      </c>
      <c r="E11">
        <f>ROUNDUP(E2/E3,0)</f>
      </c>
      <c r="F11" t="inlineStr">
        <is>
          <t>formula</t>
        </is>
      </c>
    </row>
    <row r="12">
      <c r="A12">
        <v>12.0</v>
      </c>
      <c r="B12" t="inlineStr">
        <is>
          <t>paying_merchants_from_walkins</t>
        </is>
      </c>
      <c r="C12">
        <f>ROUNDUP(C11*(1-C4),0)</f>
      </c>
      <c r="D12">
        <f>ROUNDUP(D11*(1-D4),0)</f>
      </c>
      <c r="E12">
        <f>ROUNDUP(E11*(1-E4),0)</f>
      </c>
      <c r="F12" t="inlineStr">
        <is>
          <t>formula</t>
        </is>
      </c>
    </row>
    <row r="13">
      <c r="A13">
        <v>13.0</v>
      </c>
      <c r="B13" t="inlineStr">
        <is>
          <t>pilots_needed</t>
        </is>
      </c>
      <c r="C13">
        <f>ROUNDUP(C12/C8,0)</f>
      </c>
      <c r="D13">
        <f>ROUNDUP(D12/D8,0)</f>
      </c>
      <c r="E13">
        <f>ROUNDUP(E12/E8,0)</f>
      </c>
      <c r="F13" t="inlineStr">
        <is>
          <t>formula</t>
        </is>
      </c>
    </row>
    <row r="14">
      <c r="A14">
        <v>14.0</v>
      </c>
      <c r="B14" t="inlineStr">
        <is>
          <t>demos_needed</t>
        </is>
      </c>
      <c r="C14">
        <f>ROUNDUP(C13/C7,0)</f>
      </c>
      <c r="D14">
        <f>ROUNDUP(D13/D7,0)</f>
      </c>
      <c r="E14">
        <f>ROUNDUP(E13/E7,0)</f>
      </c>
      <c r="F14" t="inlineStr">
        <is>
          <t>formula</t>
        </is>
      </c>
    </row>
    <row r="15">
      <c r="A15">
        <v>15.0</v>
      </c>
      <c r="B15" t="inlineStr">
        <is>
          <t>owner_conversations_needed</t>
        </is>
      </c>
      <c r="C15">
        <f>ROUNDUP(C14/C6,0)</f>
      </c>
      <c r="D15">
        <f>ROUNDUP(D14/D6,0)</f>
      </c>
      <c r="E15">
        <f>ROUNDUP(E14/E6,0)</f>
      </c>
      <c r="F15" t="inlineStr">
        <is>
          <t>formula</t>
        </is>
      </c>
    </row>
    <row r="16">
      <c r="A16">
        <v>16.0</v>
      </c>
      <c r="B16" t="inlineStr">
        <is>
          <t>doors_needed</t>
        </is>
      </c>
      <c r="C16">
        <f>ROUNDUP(C15/C5,0)</f>
      </c>
      <c r="D16">
        <f>ROUNDUP(D15/D5,0)</f>
      </c>
      <c r="E16">
        <f>ROUNDUP(E15/E5,0)</f>
      </c>
      <c r="F16" t="inlineStr">
        <is>
          <t>formula</t>
        </is>
      </c>
    </row>
    <row r="17">
      <c r="A17">
        <v>17.0</v>
      </c>
      <c r="B17" t="inlineStr">
        <is>
          <t>field_weeks_needed</t>
        </is>
      </c>
      <c r="C17">
        <f>ROUNDUP(C16/(C9*C10),0)</f>
      </c>
      <c r="D17">
        <f>ROUNDUP(D16/(D9*D10),0)</f>
      </c>
      <c r="E17">
        <f>ROUNDUP(E16/(E9*E10),0)</f>
      </c>
      <c r="F17" t="inlineStr">
        <is>
          <t>formula</t>
        </is>
      </c>
      <c r="G17" t="inlineStr">
        <is>
          <t>Add ~4 weeks for the last pilots to reach their paid decision.</t>
        </is>
      </c>
    </row>
    <row r="18">
      <c r="A18">
        <v>18.0</v>
      </c>
      <c r="B18" t="inlineStr">
        <is>
          <t>demos_per_week</t>
        </is>
      </c>
      <c r="C18">
        <f>ROUND(C14/C17,1)</f>
      </c>
      <c r="D18">
        <f>ROUND(D14/D17,1)</f>
      </c>
      <c r="E18">
        <f>ROUND(E14/E17,1)</f>
      </c>
      <c r="F18" t="inlineStr">
        <is>
          <t>formula</t>
        </is>
      </c>
    </row>
    <row r="19">
      <c r="A19">
        <v>19.0</v>
      </c>
      <c r="B19" t="inlineStr">
        <is>
          <t>pilot_setups_per_week</t>
        </is>
      </c>
      <c r="C19">
        <f>ROUND(C13/C17,1)</f>
      </c>
      <c r="D19">
        <f>ROUND(D13/D17,1)</f>
      </c>
      <c r="E19">
        <f>ROUND(E13/E17,1)</f>
      </c>
      <c r="F19" t="inlineStr">
        <is>
          <t>formula</t>
        </is>
      </c>
      <c r="G19" t="inlineStr">
        <is>
          <t>Each setup ~45-60 min on site.</t>
        </is>
      </c>
    </row>
    <row r="20"/>
    <row r="21">
      <c r="B21" t="inlineStr">
        <is>
          <t>Diagnostic floors (target scenario)</t>
        </is>
      </c>
      <c r="C21" t="inlineStr">
        <is>
          <t>floor</t>
        </is>
      </c>
      <c r="D21" t="inlineStr">
        <is>
          <t>judge after n</t>
        </is>
      </c>
      <c r="G21" t="inlineStr">
        <is>
          <t>If below the floor</t>
        </is>
      </c>
    </row>
    <row r="22">
      <c r="B22" t="inlineStr">
        <is>
          <t>door → owner conversation</t>
        </is>
      </c>
      <c r="C22">
        <v>0.3</v>
      </c>
      <c r="D22">
        <v>60</v>
      </c>
      <c r="G22" t="inlineStr">
        <is>
          <t>Wrong time of day/street. Move to Tue–Thu 14:30–17:00; avoid lunch rush and Saturdays.</t>
        </is>
      </c>
    </row>
    <row r="23">
      <c r="B23" t="inlineStr">
        <is>
          <t>conversation → demo</t>
        </is>
      </c>
      <c r="C23">
        <v>0.35</v>
      </c>
      <c r="D23">
        <v>40</v>
      </c>
      <c r="G23" t="inlineStr">
        <is>
          <t>Opener problem. Switch to the hand-the-phone opener (scan the demo QR).</t>
        </is>
      </c>
    </row>
    <row r="24">
      <c r="B24" t="inlineStr">
        <is>
          <t>demo → pilot</t>
        </is>
      </c>
      <c r="C24">
        <v>0.2</v>
      </c>
      <c r="D24">
        <v>25</v>
      </c>
      <c r="G24" t="inlineStr">
        <is>
          <t>Offer/fit problem. Tag every lost demo with its objection; review the top 2.</t>
        </is>
      </c>
    </row>
    <row r="25">
      <c r="B25" t="inlineStr">
        <is>
          <t>pilot active by day 14 (≥25 confirmed visits)</t>
        </is>
      </c>
      <c r="C25">
        <v>0.6</v>
      </c>
      <c r="D25">
        <v>10</v>
      </c>
      <c r="G25" t="inlineStr">
        <is>
          <t>Onboarding problem. Staff not scanning: day-3 visit, re-brief team.</t>
        </is>
      </c>
    </row>
    <row r="26">
      <c r="B26" t="inlineStr">
        <is>
          <t>pilot → paid</t>
        </is>
      </c>
      <c r="C26">
        <v>0.6</v>
      </c>
      <c r="D26">
        <v>10</v>
      </c>
      <c r="G26" t="inlineStr">
        <is>
          <t>Value not visible. Review owner usage; run the day-21 review in person.</t>
        </is>
      </c>
    </row>
  </sheetData>
</worksheet>
</file>

<file path=xl/worksheets/sheet2.xml><?xml version="1.0" encoding="utf-8"?>
<worksheet xmlns="http://schemas.openxmlformats.org/spreadsheetml/2006/main">
  <cols>
    <col min="2" max="2" width="40" customWidth="1"/>
    <col min="3" max="8" width="16" customWidth="1"/>
    <col min="10" max="10" width="80" customWidth="1"/>
  </cols>
  <sheetData>
    <row r="1">
      <c r="A1" t="inlineStr">
        <is>
          <t>row</t>
        </is>
      </c>
      <c r="B1" t="inlineStr">
        <is>
          <t>metric</t>
        </is>
      </c>
      <c r="C1" t="inlineStr">
        <is>
          <t>A_solo</t>
        </is>
      </c>
      <c r="D1" t="inlineStr">
        <is>
          <t>B_plus_seller</t>
        </is>
      </c>
      <c r="E1" t="inlineStr">
        <is>
          <t>C_plus_referrals</t>
        </is>
      </c>
      <c r="F1" t="inlineStr">
        <is>
          <t>D_plus_inbound</t>
        </is>
      </c>
      <c r="G1" t="inlineStr">
        <is>
          <t>E_all_levers</t>
        </is>
      </c>
      <c r="H1" t="inlineStr">
        <is>
          <t>F_all_levers_stretch_rates</t>
        </is>
      </c>
      <c r="I1" t="inlineStr">
        <is>
          <t>type</t>
        </is>
      </c>
      <c r="J1" t="inlineStr">
        <is>
          <t>note</t>
        </is>
      </c>
    </row>
    <row r="2">
      <c r="A2">
        <v>2.0</v>
      </c>
      <c r="B2" t="inlineStr">
        <is>
          <t>goal_paying_locations</t>
        </is>
      </c>
      <c r="C2">
        <v>100.0</v>
      </c>
      <c r="D2">
        <v>100.0</v>
      </c>
      <c r="E2">
        <v>100.0</v>
      </c>
      <c r="F2">
        <v>100.0</v>
      </c>
      <c r="G2">
        <v>100.0</v>
      </c>
      <c r="H2">
        <v>100.0</v>
      </c>
      <c r="I2" t="inlineStr">
        <is>
          <t>input</t>
        </is>
      </c>
      <c r="J2" t="inlineStr">
        <is>
          <t>Stretch objective for month one. Not the expected outcome.</t>
        </is>
      </c>
    </row>
    <row r="3">
      <c r="A3">
        <v>3.0</v>
      </c>
      <c r="B3" t="inlineStr">
        <is>
          <t>weeks_in_month</t>
        </is>
      </c>
      <c r="C3">
        <v>4.0</v>
      </c>
      <c r="D3">
        <v>4.0</v>
      </c>
      <c r="E3">
        <v>4.0</v>
      </c>
      <c r="F3">
        <v>4.0</v>
      </c>
      <c r="G3">
        <v>4.0</v>
      </c>
      <c r="H3">
        <v>4.0</v>
      </c>
      <c r="I3" t="inlineStr">
        <is>
          <t>input</t>
        </is>
      </c>
    </row>
    <row r="4">
      <c r="A4">
        <v>4.0</v>
      </c>
      <c r="B4" t="inlineStr">
        <is>
          <t>field_days_per_week</t>
        </is>
      </c>
      <c r="C4">
        <v>4.0</v>
      </c>
      <c r="D4">
        <v>4.0</v>
      </c>
      <c r="E4">
        <v>4.0</v>
      </c>
      <c r="F4">
        <v>4.0</v>
      </c>
      <c r="G4">
        <v>4.0</v>
      </c>
      <c r="H4">
        <v>4.0</v>
      </c>
      <c r="I4" t="inlineStr">
        <is>
          <t>input</t>
        </is>
      </c>
      <c r="J4" t="inlineStr">
        <is>
          <t>Day 5 = setups + follow-ups + review.</t>
        </is>
      </c>
    </row>
    <row r="5">
      <c r="A5">
        <v>5.0</v>
      </c>
      <c r="B5" t="inlineStr">
        <is>
          <t>sellers</t>
        </is>
      </c>
      <c r="C5">
        <v>1.0</v>
      </c>
      <c r="D5">
        <v>2.0</v>
      </c>
      <c r="E5">
        <v>1.0</v>
      </c>
      <c r="F5">
        <v>1.0</v>
      </c>
      <c r="G5">
        <v>2.0</v>
      </c>
      <c r="H5">
        <v>2.0</v>
      </c>
      <c r="I5" t="inlineStr">
        <is>
          <t>input</t>
        </is>
      </c>
      <c r="J5" t="inlineStr">
        <is>
          <t>B/E/F: founder + one additional seller from week 1.</t>
        </is>
      </c>
    </row>
    <row r="6">
      <c r="A6">
        <v>6.0</v>
      </c>
      <c r="B6" t="inlineStr">
        <is>
          <t>doors_per_seller_day</t>
        </is>
      </c>
      <c r="C6">
        <v>25.0</v>
      </c>
      <c r="D6">
        <v>25.0</v>
      </c>
      <c r="E6">
        <v>25.0</v>
      </c>
      <c r="F6">
        <v>25.0</v>
      </c>
      <c r="G6">
        <v>25.0</v>
      </c>
      <c r="H6">
        <v>25.0</v>
      </c>
      <c r="I6" t="inlineStr">
        <is>
          <t>input</t>
        </is>
      </c>
    </row>
    <row r="7">
      <c r="A7">
        <v>7.0</v>
      </c>
      <c r="B7" t="inlineStr">
        <is>
          <t>rate_door_to_conversation</t>
        </is>
      </c>
      <c r="C7">
        <v>0.45</v>
      </c>
      <c r="D7">
        <v>0.45</v>
      </c>
      <c r="E7">
        <v>0.45</v>
      </c>
      <c r="F7">
        <v>0.45</v>
      </c>
      <c r="G7">
        <v>0.45</v>
      </c>
      <c r="H7">
        <v>0.55</v>
      </c>
      <c r="I7" t="inlineStr">
        <is>
          <t>input</t>
        </is>
      </c>
      <c r="J7" t="inlineStr">
        <is>
          <t>Planning assumption (target scenario of funnel-model.csv); F uses its stretch value.</t>
        </is>
      </c>
    </row>
    <row r="8">
      <c r="A8">
        <v>8.0</v>
      </c>
      <c r="B8" t="inlineStr">
        <is>
          <t>rate_conversation_to_demo</t>
        </is>
      </c>
      <c r="C8">
        <v>0.5</v>
      </c>
      <c r="D8">
        <v>0.5</v>
      </c>
      <c r="E8">
        <v>0.5</v>
      </c>
      <c r="F8">
        <v>0.5</v>
      </c>
      <c r="G8">
        <v>0.5</v>
      </c>
      <c r="H8">
        <v>0.6</v>
      </c>
      <c r="I8" t="inlineStr">
        <is>
          <t>input</t>
        </is>
      </c>
    </row>
    <row r="9">
      <c r="A9">
        <v>9.0</v>
      </c>
      <c r="B9" t="inlineStr">
        <is>
          <t>rate_demo_to_close</t>
        </is>
      </c>
      <c r="C9">
        <v>0.35</v>
      </c>
      <c r="D9">
        <v>0.35</v>
      </c>
      <c r="E9">
        <v>0.35</v>
      </c>
      <c r="F9">
        <v>0.35</v>
      </c>
      <c r="G9">
        <v>0.35</v>
      </c>
      <c r="H9">
        <v>0.45</v>
      </c>
      <c r="I9" t="inlineStr">
        <is>
          <t>input</t>
        </is>
      </c>
      <c r="J9" t="inlineStr">
        <is>
          <t>Close = agrees to the written terms</t>
        </is>
      </c>
      <c r="K9" t="inlineStr">
        <is>
          <t> 49 € list or 39 € founding price (paid start only after the owner clears the commercial gates).</t>
        </is>
      </c>
    </row>
    <row r="10">
      <c r="A10">
        <v>10.0</v>
      </c>
      <c r="B10" t="inlineStr">
        <is>
          <t>close_rate_factor</t>
        </is>
      </c>
      <c r="C10">
        <v>1.0</v>
      </c>
      <c r="D10">
        <v>0.9</v>
      </c>
      <c r="E10">
        <v>1.0</v>
      </c>
      <c r="F10">
        <v>1.0</v>
      </c>
      <c r="G10">
        <v>0.9</v>
      </c>
      <c r="H10">
        <v>0.9</v>
      </c>
      <c r="I10" t="inlineStr">
        <is>
          <t>input</t>
        </is>
      </c>
      <c r="J10" t="inlineStr">
        <is>
          <t>Blended factor for a newer second seller (assumption).</t>
        </is>
      </c>
    </row>
    <row r="11">
      <c r="A11">
        <v>11.0</v>
      </c>
      <c r="B11" t="inlineStr">
        <is>
          <t>rate_close_to_activated</t>
        </is>
      </c>
      <c r="C11">
        <v>0.75</v>
      </c>
      <c r="D11">
        <v>0.75</v>
      </c>
      <c r="E11">
        <v>0.75</v>
      </c>
      <c r="F11">
        <v>0.75</v>
      </c>
      <c r="G11">
        <v>0.75</v>
      </c>
      <c r="H11">
        <v>0.85</v>
      </c>
      <c r="I11" t="inlineStr">
        <is>
          <t>input</t>
        </is>
      </c>
      <c r="J11" t="inlineStr">
        <is>
          <t>Activated = live and &gt;= 25 confirmed visits by day 14 (hypothesis).</t>
        </is>
      </c>
    </row>
    <row r="12">
      <c r="A12">
        <v>12.0</v>
      </c>
      <c r="B12" t="inlineStr">
        <is>
          <t>locations_per_merchant</t>
        </is>
      </c>
      <c r="C12">
        <v>1.1</v>
      </c>
      <c r="D12">
        <v>1.1</v>
      </c>
      <c r="E12">
        <v>1.1</v>
      </c>
      <c r="F12">
        <v>1.1</v>
      </c>
      <c r="G12">
        <v>1.1</v>
      </c>
      <c r="H12">
        <v>1.2</v>
      </c>
      <c r="I12" t="inlineStr">
        <is>
          <t>input</t>
        </is>
      </c>
    </row>
    <row r="13">
      <c r="A13">
        <v>13.0</v>
      </c>
      <c r="B13" t="inlineStr">
        <is>
          <t>referral_intros_per_activated_merchant</t>
        </is>
      </c>
      <c r="C13">
        <v>0.0</v>
      </c>
      <c r="D13">
        <v>0.0</v>
      </c>
      <c r="E13">
        <v>0.5</v>
      </c>
      <c r="F13">
        <v>0.0</v>
      </c>
      <c r="G13">
        <v>0.5</v>
      </c>
      <c r="H13">
        <v>0.5</v>
      </c>
      <c r="I13" t="inlineStr">
        <is>
          <t>input</t>
        </is>
      </c>
      <c r="J13" t="inlineStr">
        <is>
          <t>Introductions within the month (10-merchant-referrals.md).</t>
        </is>
      </c>
    </row>
    <row r="14">
      <c r="A14">
        <v>14.0</v>
      </c>
      <c r="B14" t="inlineStr">
        <is>
          <t>rate_referral_intro_to_activated</t>
        </is>
      </c>
      <c r="C14">
        <v>0.4</v>
      </c>
      <c r="D14">
        <v>0.4</v>
      </c>
      <c r="E14">
        <v>0.4</v>
      </c>
      <c r="F14">
        <v>0.4</v>
      </c>
      <c r="G14">
        <v>0.4</v>
      </c>
      <c r="H14">
        <v>0.4</v>
      </c>
      <c r="I14" t="inlineStr">
        <is>
          <t>input</t>
        </is>
      </c>
    </row>
    <row r="15">
      <c r="A15">
        <v>15.0</v>
      </c>
      <c r="B15" t="inlineStr">
        <is>
          <t>inbound_leads_per_week</t>
        </is>
      </c>
      <c r="C15">
        <v>0.0</v>
      </c>
      <c r="D15">
        <v>0.0</v>
      </c>
      <c r="E15">
        <v>0.0</v>
      </c>
      <c r="F15">
        <v>10.0</v>
      </c>
      <c r="G15">
        <v>10.0</v>
      </c>
      <c r="H15">
        <v>10.0</v>
      </c>
      <c r="I15" t="inlineStr">
        <is>
          <t>input</t>
        </is>
      </c>
      <c r="J15" t="inlineStr">
        <is>
          <t>Content/ads/site leads; paid ads need O-014 first.</t>
        </is>
      </c>
    </row>
    <row r="16">
      <c r="A16">
        <v>16.0</v>
      </c>
      <c r="B16" t="inlineStr">
        <is>
          <t>rate_inbound_lead_to_demo</t>
        </is>
      </c>
      <c r="C16">
        <v>0.6</v>
      </c>
      <c r="D16">
        <v>0.6</v>
      </c>
      <c r="E16">
        <v>0.6</v>
      </c>
      <c r="F16">
        <v>0.6</v>
      </c>
      <c r="G16">
        <v>0.6</v>
      </c>
      <c r="H16">
        <v>0.6</v>
      </c>
      <c r="I16" t="inlineStr">
        <is>
          <t>input</t>
        </is>
      </c>
    </row>
    <row r="17">
      <c r="A17">
        <v>17.0</v>
      </c>
      <c r="B17" t="inlineStr">
        <is>
          <t>doors</t>
        </is>
      </c>
      <c r="C17">
        <f>C3*C4*C5*C6</f>
      </c>
      <c r="D17">
        <f>D3*D4*D5*D6</f>
      </c>
      <c r="E17">
        <f>E3*E4*E5*E6</f>
      </c>
      <c r="F17">
        <f>F3*F4*F5*F6</f>
      </c>
      <c r="G17">
        <f>G3*G4*G5*G6</f>
      </c>
      <c r="H17">
        <f>H3*H4*H5*H6</f>
      </c>
      <c r="I17" t="inlineStr">
        <is>
          <t>formula</t>
        </is>
      </c>
    </row>
    <row r="18">
      <c r="A18">
        <v>18.0</v>
      </c>
      <c r="B18" t="inlineStr">
        <is>
          <t>owner_conversations</t>
        </is>
      </c>
      <c r="C18">
        <f>C17*C7</f>
      </c>
      <c r="D18">
        <f>D17*D7</f>
      </c>
      <c r="E18">
        <f>E17*E7</f>
      </c>
      <c r="F18">
        <f>F17*F7</f>
      </c>
      <c r="G18">
        <f>G17*G7</f>
      </c>
      <c r="H18">
        <f>H17*H7</f>
      </c>
      <c r="I18" t="inlineStr">
        <is>
          <t>formula</t>
        </is>
      </c>
    </row>
    <row r="19">
      <c r="A19">
        <v>19.0</v>
      </c>
      <c r="B19" t="inlineStr">
        <is>
          <t>demos_from_field</t>
        </is>
      </c>
      <c r="C19">
        <f>C18*C8</f>
      </c>
      <c r="D19">
        <f>D18*D8</f>
      </c>
      <c r="E19">
        <f>E18*E8</f>
      </c>
      <c r="F19">
        <f>F18*F8</f>
      </c>
      <c r="G19">
        <f>G18*G8</f>
      </c>
      <c r="H19">
        <f>H18*H8</f>
      </c>
      <c r="I19" t="inlineStr">
        <is>
          <t>formula</t>
        </is>
      </c>
    </row>
    <row r="20">
      <c r="A20">
        <v>20.0</v>
      </c>
      <c r="B20" t="inlineStr">
        <is>
          <t>demos_from_inbound</t>
        </is>
      </c>
      <c r="C20">
        <f>C3*C15*C16</f>
      </c>
      <c r="D20">
        <f>D3*D15*D16</f>
      </c>
      <c r="E20">
        <f>E3*E15*E16</f>
      </c>
      <c r="F20">
        <f>F3*F15*F16</f>
      </c>
      <c r="G20">
        <f>G3*G15*G16</f>
      </c>
      <c r="H20">
        <f>H3*H15*H16</f>
      </c>
      <c r="I20" t="inlineStr">
        <is>
          <t>formula</t>
        </is>
      </c>
    </row>
    <row r="21">
      <c r="A21">
        <v>21.0</v>
      </c>
      <c r="B21" t="inlineStr">
        <is>
          <t>closes</t>
        </is>
      </c>
      <c r="C21">
        <f>(C19+C20)*C9*C10</f>
      </c>
      <c r="D21">
        <f>(D19+D20)*D9*D10</f>
      </c>
      <c r="E21">
        <f>(E19+E20)*E9*E10</f>
      </c>
      <c r="F21">
        <f>(F19+F20)*F9*F10</f>
      </c>
      <c r="G21">
        <f>(G19+G20)*G9*G10</f>
      </c>
      <c r="H21">
        <f>(H19+H20)*H9*H10</f>
      </c>
      <c r="I21" t="inlineStr">
        <is>
          <t>formula</t>
        </is>
      </c>
    </row>
    <row r="22">
      <c r="A22">
        <v>22.0</v>
      </c>
      <c r="B22" t="inlineStr">
        <is>
          <t>activated_direct</t>
        </is>
      </c>
      <c r="C22">
        <f>C21*C11</f>
      </c>
      <c r="D22">
        <f>D21*D11</f>
      </c>
      <c r="E22">
        <f>E21*E11</f>
      </c>
      <c r="F22">
        <f>F21*F11</f>
      </c>
      <c r="G22">
        <f>G21*G11</f>
      </c>
      <c r="H22">
        <f>H21*H11</f>
      </c>
      <c r="I22" t="inlineStr">
        <is>
          <t>formula</t>
        </is>
      </c>
    </row>
    <row r="23">
      <c r="A23">
        <v>23.0</v>
      </c>
      <c r="B23" t="inlineStr">
        <is>
          <t>activated_from_referrals</t>
        </is>
      </c>
      <c r="C23">
        <f>C22*C13*C14</f>
      </c>
      <c r="D23">
        <f>D22*D13*D14</f>
      </c>
      <c r="E23">
        <f>E22*E13*E14</f>
      </c>
      <c r="F23">
        <f>F22*F13*F14</f>
      </c>
      <c r="G23">
        <f>G22*G13*G14</f>
      </c>
      <c r="H23">
        <f>H22*H13*H14</f>
      </c>
      <c r="I23" t="inlineStr">
        <is>
          <t>formula</t>
        </is>
      </c>
    </row>
    <row r="24">
      <c r="A24">
        <v>24.0</v>
      </c>
      <c r="B24" t="inlineStr">
        <is>
          <t>activated_merchants</t>
        </is>
      </c>
      <c r="C24">
        <f>C22+C23</f>
      </c>
      <c r="D24">
        <f>D22+D23</f>
      </c>
      <c r="E24">
        <f>E22+E23</f>
      </c>
      <c r="F24">
        <f>F22+F23</f>
      </c>
      <c r="G24">
        <f>G22+G23</f>
      </c>
      <c r="H24">
        <f>H22+H23</f>
      </c>
      <c r="I24" t="inlineStr">
        <is>
          <t>formula</t>
        </is>
      </c>
    </row>
    <row r="25">
      <c r="A25">
        <v>25.0</v>
      </c>
      <c r="B25" t="inlineStr">
        <is>
          <t>paying_locations_expected</t>
        </is>
      </c>
      <c r="C25">
        <f>ROUND(C24*C12,1)</f>
      </c>
      <c r="D25">
        <f>ROUND(D24*D12,1)</f>
      </c>
      <c r="E25">
        <f>ROUND(E24*E12,1)</f>
      </c>
      <c r="F25">
        <f>ROUND(F24*F12,1)</f>
      </c>
      <c r="G25">
        <f>ROUND(G24*G12,1)</f>
      </c>
      <c r="H25">
        <f>ROUND(H24*H12,1)</f>
      </c>
      <c r="I25" t="inlineStr">
        <is>
          <t>formula</t>
        </is>
      </c>
      <c r="J25" t="inlineStr">
        <is>
          <t>Locations that agreed to the terms and activated; paid once the gates clear.</t>
        </is>
      </c>
    </row>
    <row r="26">
      <c r="A26">
        <v>26.0</v>
      </c>
      <c r="B26" t="inlineStr">
        <is>
          <t>required_doors_for_goal</t>
        </is>
      </c>
      <c r="C26">
        <f>ROUNDUP((C2/C12/(C9*C10*C11*(1+C13*C14))-C20)/(C7*C8),0)</f>
      </c>
      <c r="D26">
        <f>ROUNDUP((D2/D12/(D9*D10*D11*(1+D13*D14))-D20)/(D7*D8),0)</f>
      </c>
      <c r="E26">
        <f>ROUNDUP((E2/E12/(E9*E10*E11*(1+E13*E14))-E20)/(E7*E8),0)</f>
      </c>
      <c r="F26">
        <f>ROUNDUP((F2/F12/(F9*F10*F11*(1+F13*F14))-F20)/(F7*F8),0)</f>
      </c>
      <c r="G26">
        <f>ROUNDUP((G2/G12/(G9*G10*G11*(1+G13*G14))-G20)/(G7*G8),0)</f>
      </c>
      <c r="H26">
        <f>ROUNDUP((H2/H12/(H9*H10*H11*(1+H13*H14))-H20)/(H7*H8),0)</f>
      </c>
      <c r="I26" t="inlineStr">
        <is>
          <t>formula</t>
        </is>
      </c>
      <c r="J26" t="inlineStr">
        <is>
          <t>Holding every rate above.</t>
        </is>
      </c>
    </row>
    <row r="27">
      <c r="A27">
        <v>27.0</v>
      </c>
      <c r="B27" t="inlineStr">
        <is>
          <t>required_doors_per_seller_field_day</t>
        </is>
      </c>
      <c r="C27">
        <f>ROUND(C26/(C3*C4*C5),1)</f>
      </c>
      <c r="D27">
        <f>ROUND(D26/(D3*D4*D5),1)</f>
      </c>
      <c r="E27">
        <f>ROUND(E26/(E3*E4*E5),1)</f>
      </c>
      <c r="F27">
        <f>ROUND(F26/(F3*F4*F5),1)</f>
      </c>
      <c r="G27">
        <f>ROUND(G26/(G3*G4*G5),1)</f>
      </c>
      <c r="H27">
        <f>ROUND(H26/(H3*H4*H5),1)</f>
      </c>
      <c r="I27" t="inlineStr">
        <is>
          <t>formula</t>
        </is>
      </c>
      <c r="J27" t="inlineStr">
        <is>
          <t>About 25 is a full field day.</t>
        </is>
      </c>
    </row>
    <row r="28">
      <c r="A28">
        <v>28.0</v>
      </c>
      <c r="B28" t="inlineStr">
        <is>
          <t>required_conversation_to_demo_rate</t>
        </is>
      </c>
      <c r="C28">
        <f>ROUND((C2/C12/(C9*C10*C11*(1+C13*C14))-C20)/C18,2)</f>
      </c>
      <c r="D28">
        <f>ROUND((D2/D12/(D9*D10*D11*(1+D13*D14))-D20)/D18,2)</f>
      </c>
      <c r="E28">
        <f>ROUND((E2/E12/(E9*E10*E11*(1+E13*E14))-E20)/E18,2)</f>
      </c>
      <c r="F28">
        <f>ROUND((F2/F12/(F9*F10*F11*(1+F13*F14))-F20)/F18,2)</f>
      </c>
      <c r="G28">
        <f>ROUND((G2/G12/(G9*G10*G11*(1+G13*G14))-G20)/G18,2)</f>
      </c>
      <c r="H28">
        <f>ROUND((H2/H12/(H9*H10*H11*(1+H13*H14))-H20)/H18,2)</f>
      </c>
      <c r="I28" t="inlineStr">
        <is>
          <t>formula</t>
        </is>
      </c>
      <c r="J28" t="inlineStr">
        <is>
          <t>Holding volume and the other rates. Above 1 = impossible.</t>
        </is>
      </c>
    </row>
    <row r="29">
      <c r="A29">
        <v>29.0</v>
      </c>
      <c r="B29" t="inlineStr">
        <is>
          <t>required_demo_to_close_rate</t>
        </is>
      </c>
      <c r="C29">
        <f>ROUND(C2/C12/((C19+C20)*C10*C11*(1+C13*C14)),2)</f>
      </c>
      <c r="D29">
        <f>ROUND(D2/D12/((D19+D20)*D10*D11*(1+D13*D14)),2)</f>
      </c>
      <c r="E29">
        <f>ROUND(E2/E12/((E19+E20)*E10*E11*(1+E13*E14)),2)</f>
      </c>
      <c r="F29">
        <f>ROUND(F2/F12/((F19+F20)*F10*F11*(1+F13*F14)),2)</f>
      </c>
      <c r="G29">
        <f>ROUND(G2/G12/((G19+G20)*G10*G11*(1+G13*G14)),2)</f>
      </c>
      <c r="H29">
        <f>ROUND(H2/H12/((H19+H20)*H10*H11*(1+H13*H14)),2)</f>
      </c>
      <c r="I29" t="inlineStr">
        <is>
          <t>formula</t>
        </is>
      </c>
      <c r="J29" t="inlineStr">
        <is>
          <t>Holding volume and the other rates.</t>
        </is>
      </c>
    </row>
    <row r="30">
      <c r="A30">
        <v>30.0</v>
      </c>
      <c r="B30" t="inlineStr">
        <is>
          <t>required_activation_rate</t>
        </is>
      </c>
      <c r="C30">
        <f>ROUND(C2/C12/((C19+C20)*C9*C10*(1+C13*C14)),2)</f>
      </c>
      <c r="D30">
        <f>ROUND(D2/D12/((D19+D20)*D9*D10*(1+D13*D14)),2)</f>
      </c>
      <c r="E30">
        <f>ROUND(E2/E12/((E19+E20)*E9*E10*(1+E13*E14)),2)</f>
      </c>
      <c r="F30">
        <f>ROUND(F2/F12/((F19+F20)*F9*F10*(1+F13*F14)),2)</f>
      </c>
      <c r="G30">
        <f>ROUND(G2/G12/((G19+G20)*G9*G10*(1+G13*G14)),2)</f>
      </c>
      <c r="H30">
        <f>ROUND(H2/H12/((H19+H20)*H9*H10*(1+H13*H14)),2)</f>
      </c>
      <c r="I30" t="inlineStr">
        <is>
          <t>formula</t>
        </is>
      </c>
      <c r="J30" t="inlineStr">
        <is>
          <t>Holding volume and the other rates.</t>
        </is>
      </c>
    </row>
  </sheetData>
</worksheet>
</file>